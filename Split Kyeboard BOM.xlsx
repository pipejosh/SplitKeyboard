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<sst xmlns="http://schemas.openxmlformats.org/spreadsheetml/2006/main" count="58" uniqueCount="54">
  <si>
    <t>KIT Items</t>
  </si>
  <si>
    <t>Description</t>
  </si>
  <si>
    <t>Quantity</t>
  </si>
  <si>
    <t>Unit Price (CAD)</t>
  </si>
  <si>
    <t>Total Price (CAD)</t>
  </si>
  <si>
    <t>URL</t>
  </si>
  <si>
    <t>Arduino Pro Micro</t>
  </si>
  <si>
    <t>Microcontroller</t>
  </si>
  <si>
    <t>12.18</t>
  </si>
  <si>
    <t>https://www.aliexpress.com/item/1576902211.html?invitationCode=WTdsQld1N3E0dCt6aUJSMk1HMGFwS3pRdVpSS2ZEbUpCQXpTeWNiYS9GdWVQemFTZUJrNWVWT0s1MU1hdTAyWg&amp;srcSns=sns_Copy&amp;spreadType=socialShare&amp;social_params=21998300526&amp;bizType=ProductDetail&amp;spreadCode=WTdsQld1N3E0dCt6aUJSMk1HMGFwS3pRdVpSS2ZEbUpCQXpTeWNiYS9GdWVQemFTZUJrNWVWT0s1MU1hdTAyWg&amp;aff_fcid=fc7fe6e8dfe6416393474d90287a145e-1765002889991-05671-_mMYwaOd&amp;tt=MG&amp;aff_fsk=_mMYwaOd&amp;aff_platform=default&amp;sk=_mMYwaOd&amp;aff_trace_key=fc7fe6e8dfe6416393474d90287a145e-1765002889991-05671-_mMYwaOd&amp;shareId=21998300526&amp;businessType=ProductDetail&amp;platform=AE&amp;terminal_id=fde94912c73c48bdaf8f78c58fcc7623&amp;afSmartRedirect=y&amp;gatewayAdapt=4itemAdapt</t>
  </si>
  <si>
    <t>Smd diodes</t>
  </si>
  <si>
    <t>Diodes</t>
  </si>
  <si>
    <t>https://www.aliexpress.com/item/1005007160279747.html?spm=a2g0o.productlist.main.1.22304822ae9taT&amp;algo_pvid=f4c554f1-c455-4c9a-9782-f7b60fc6d5bb&amp;pdp_ext_f=%7B%22order%22%3A%2299%22%2C%22eval%22%3A%221%22%2C%22fromPage%22%3A%22search%22%7D&amp;utparam-url=scene%3Asearch%7Cquery_from%3A%7Cx_object_id%3A1005007160279747%7C_p_origin_prod%3A</t>
  </si>
  <si>
    <t>trrs jack</t>
  </si>
  <si>
    <t>Trrs conector</t>
  </si>
  <si>
    <t>https://www.aliexpress.com/item/33029465106.html?spm=a2g0o.productlist.main.21.29c77dd4Pf9B7x&amp;algo_pvid=23a89907-d685-4134-9da7-b389fe9d47c8&amp;pdp_ext_f=%7B%22order%22%3A%22417%22%2C%22eval%22%3A%221%22%2C%22fromPage%22%3A%22search%22%7D&amp;utparam-url=scene%3Asearch%7Cquery_from%3A%7Cx_object_id%3A33029465106%7C_p_origin_prod%3A</t>
  </si>
  <si>
    <t xml:space="preserve">Kailh hot swap </t>
  </si>
  <si>
    <t>Hot swap for the switches</t>
  </si>
  <si>
    <t>https://www.aliexpress.com/item/1005006610157756.html?spm=a2g0o.productlist.main.9.38bc50b5kyuRi5&amp;algo_pvid=be244f2e-ac60-42cf-8ede-f174e89223a1&amp;pdp_ext_f=%7B%22order%22%3A%22158%22%2C%22eval%22%3A%221%22%2C%22fromPage%22%3A%22search%22%7D&amp;utparam-url=scene%3Asearch%7Cquery_from%3A%7Cx_object_id%3A1005006610157756%7C_p_origin_prod%3A</t>
  </si>
  <si>
    <t>Akko Creamy Blue</t>
  </si>
  <si>
    <t>Switch</t>
  </si>
  <si>
    <t>https://www.aliexpress.com/item/1005006382591392.html?spm=a2g0o.productlist.0.0.6c9fnDJunDJu8K&amp;mp=1</t>
  </si>
  <si>
    <t>Oled display</t>
  </si>
  <si>
    <t>0.91 inch oled display (white)</t>
  </si>
  <si>
    <t>https://www.aliexpress.com/item/1005008918700196.html?spm=a2g0o.productlist.main.2.aa9f73e59kPfvL&amp;algo_pvid=6abceb6f-e678-4bb3-a5e7-ac52308a9bd5&amp;pdp_ext_f=%7B%22order%22%3A%22380%22%2C%22eval%22%3A%221%22%2C%22fromPage%22%3A%22search%22%7D&amp;utparam-url=scene%3Asearch%7Cquery_from%3A%7Cx_object_id%3A1005008918700196%7C_p_origin_prod%3A</t>
  </si>
  <si>
    <t>M2 screw</t>
  </si>
  <si>
    <t>M2 screws 5mm</t>
  </si>
  <si>
    <t>https://www.aliexpress.com/item/1005005070119421.html?spm=a2g0o.productlist.main.6.5ae95acdXyxAzO&amp;algo_pvid=7b80bd85-60b3-451d-ab83-8cb025dd266f&amp;pdp_ext_f=%7B%22order%22%3A%228711%22%2C%22eval%22%3A%221%22%2C%22fromPage%22%3A%22search%22%7D&amp;utparam-url=scene%3Asearch%7Cquery_from%3A%7Cx_object_id%3A1005005070119421%7C_p_origin_prod%3A</t>
  </si>
  <si>
    <t>Trrs Cable</t>
  </si>
  <si>
    <t>Trrs cable</t>
  </si>
  <si>
    <t>https://www.amazon.ca/Coiled-Stereo-Haokiang-Extension-Headset/dp/B07FFW8YZR/ref=sr_1_13?sr=8-13</t>
  </si>
  <si>
    <t>M2 standoff</t>
  </si>
  <si>
    <t>M2 standoff 10mm</t>
  </si>
  <si>
    <t>2.76</t>
  </si>
  <si>
    <t>https://www.aliexpress.com/item/1005008798318304.html?spm=a2g0o.productlist.main.1.181d71ddvmxbc2&amp;algo_pvid=71512421-2cfd-4303-9ff7-12baccfd3a37&amp;aem_p4p_detail=202512062349391888838274516030002115181&amp;pdp_ext_f=%7B%22order%22%3A%22532%22%2C%22eval%22%3A%221%22%2C%22fromPage%22%3A%22search%22%7D&amp;utparam-url=scene%3Asearch%7Cquery_from%3A%7Cx_object_id%3A1005008798318304%7C_p_origin_prod%3A&amp;search_p4p_id=202512062349391888838274516030002115181_1</t>
  </si>
  <si>
    <t>Switches</t>
  </si>
  <si>
    <t>Reset switch</t>
  </si>
  <si>
    <t>https://www.aliexpress.com/item/1005009739698023.html?spm=a2g0o.productlist.main.2.3db27156A9zIgu&amp;algo_pvid=5ccd299d-bc42-4e1b-a1f3-9ce498b12316&amp;pdp_ext_f=%7B%22order%22%3A%2241%22%2C%22eval%22%3A%221%22%2C%22fromPage%22%3A%22search%22%7D&amp;utparam-url=scene%3Asearch%7Cquery_from%3A%7Cx_object_id%3A1005009739698023%7C_p_origin_prod%3A</t>
  </si>
  <si>
    <t>Usb c calbe</t>
  </si>
  <si>
    <t>usdb cable</t>
  </si>
  <si>
    <t>https://www.aliexpress.com/item/1005005315398342.html?spm=a2g0o.detail.0.0.6146jeKAjeKAgM&amp;mp=1</t>
  </si>
  <si>
    <t>Rubber feet</t>
  </si>
  <si>
    <t>rubber feet for the keyboard</t>
  </si>
  <si>
    <t>taxes</t>
  </si>
  <si>
    <t>aliexpress tax</t>
  </si>
  <si>
    <t>Components</t>
  </si>
  <si>
    <t>CASE Items</t>
  </si>
  <si>
    <t>Unit Price ($)</t>
  </si>
  <si>
    <t>Total Price ($)</t>
  </si>
  <si>
    <t>JLCPCB</t>
  </si>
  <si>
    <t>Split keyboard PCB</t>
  </si>
  <si>
    <t>JLCPCB Shipping</t>
  </si>
  <si>
    <t>Shipping for PCB</t>
  </si>
  <si>
    <t xml:space="preserve">Total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</si>
</sst>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10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u/>
      <color rgb="FF0000FF"/>
      <name val="Arial"/>
    </font>
    <font>
      <color theme="1"/>
      <name val="Arial"/>
      <scheme val="minor"/>
    </font>
    <font>
      <u/>
      <color rgb="FF1155CC"/>
      <name val="Arial"/>
    </font>
    <font>
      <color rgb="FF0F1111"/>
      <name val="Arial"/>
    </font>
    <font>
      <sz val="10.0"/>
      <color rgb="FF222222"/>
      <name val="Arial"/>
    </font>
    <font>
      <u/>
      <color rgb="FF0000FF"/>
      <name val="Arial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1" fillId="0" fontId="1" numFmtId="0" xfId="0" applyAlignment="1" applyBorder="1" applyFont="1">
      <alignment readingOrder="0" vertical="bottom"/>
    </xf>
    <xf borderId="0" fillId="0" fontId="1" numFmtId="0" xfId="0" applyAlignment="1" applyFont="1">
      <alignment vertical="bottom"/>
    </xf>
    <xf borderId="1" fillId="0" fontId="2" numFmtId="0" xfId="0" applyAlignment="1" applyBorder="1" applyFont="1">
      <alignment readingOrder="0" vertical="bottom"/>
    </xf>
    <xf borderId="1" fillId="0" fontId="2" numFmtId="0" xfId="0" applyAlignment="1" applyBorder="1" applyFont="1">
      <alignment vertical="bottom"/>
    </xf>
    <xf borderId="1" fillId="0" fontId="2" numFmtId="0" xfId="0" applyAlignment="1" applyBorder="1" applyFont="1">
      <alignment horizontal="right" vertical="bottom"/>
    </xf>
    <xf borderId="1" fillId="0" fontId="2" numFmtId="0" xfId="0" applyAlignment="1" applyBorder="1" applyFont="1">
      <alignment horizontal="right" readingOrder="0" vertical="bottom"/>
    </xf>
    <xf borderId="0" fillId="0" fontId="3" numFmtId="0" xfId="0" applyAlignment="1" applyFont="1">
      <alignment readingOrder="0" vertical="bottom"/>
    </xf>
    <xf borderId="1" fillId="0" fontId="2" numFmtId="4" xfId="0" applyAlignment="1" applyBorder="1" applyFont="1" applyNumberFormat="1">
      <alignment horizontal="right" readingOrder="0" vertical="bottom"/>
    </xf>
    <xf borderId="1" fillId="0" fontId="4" numFmtId="4" xfId="0" applyAlignment="1" applyBorder="1" applyFont="1" applyNumberFormat="1">
      <alignment readingOrder="0"/>
    </xf>
    <xf borderId="0" fillId="0" fontId="5" numFmtId="0" xfId="0" applyAlignment="1" applyFont="1">
      <alignment readingOrder="0" vertical="bottom"/>
    </xf>
    <xf borderId="1" fillId="2" fontId="6" numFmtId="0" xfId="0" applyAlignment="1" applyBorder="1" applyFill="1" applyFont="1">
      <alignment readingOrder="0"/>
    </xf>
    <xf borderId="1" fillId="0" fontId="7" numFmtId="2" xfId="0" applyAlignment="1" applyBorder="1" applyFont="1" applyNumberFormat="1">
      <alignment readingOrder="0"/>
    </xf>
    <xf borderId="1" fillId="0" fontId="4" numFmtId="0" xfId="0" applyAlignment="1" applyBorder="1" applyFont="1">
      <alignment readingOrder="0"/>
    </xf>
    <xf borderId="0" fillId="0" fontId="8" numFmtId="0" xfId="0" applyAlignment="1" applyFont="1">
      <alignment readingOrder="0" vertical="bottom"/>
    </xf>
    <xf borderId="0" fillId="0" fontId="9" numFmtId="0" xfId="0" applyAlignment="1" applyFont="1">
      <alignment readingOrder="0"/>
    </xf>
    <xf borderId="1" fillId="0" fontId="4" numFmtId="0" xfId="0" applyBorder="1" applyFont="1"/>
    <xf borderId="1" fillId="0" fontId="4" numFmtId="2" xfId="0" applyBorder="1" applyFont="1" applyNumberFormat="1"/>
    <xf borderId="0" fillId="0" fontId="4" numFmtId="0" xfId="0" applyAlignment="1" applyFont="1">
      <alignment readingOrder="0"/>
    </xf>
    <xf borderId="0" fillId="0" fontId="4" numFmtId="0" xfId="0" applyFont="1"/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readingOrder="0" vertical="bottom"/>
    </xf>
    <xf borderId="0" fillId="0" fontId="2" numFmtId="164" xfId="0" applyAlignment="1" applyFont="1" applyNumberFormat="1">
      <alignment vertical="bottom"/>
    </xf>
    <xf borderId="0" fillId="0" fontId="1" numFmtId="0" xfId="0" applyAlignment="1" applyFont="1">
      <alignment readingOrder="0" vertical="bottom"/>
    </xf>
    <xf borderId="0" fillId="0" fontId="2" numFmtId="16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171450</xdr:colOff>
      <xdr:row>18</xdr:row>
      <xdr:rowOff>104775</xdr:rowOff>
    </xdr:from>
    <xdr:ext cx="7505700" cy="22383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590550</xdr:colOff>
      <xdr:row>20</xdr:row>
      <xdr:rowOff>-85725</xdr:rowOff>
    </xdr:from>
    <xdr:ext cx="4867275" cy="5800725"/>
    <xdr:pic>
      <xdr:nvPicPr>
        <xdr:cNvPr id="0" name="image2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aliexpress.com/item/1005005315398342.html?spm=a2g0o.detail.0.0.6146jeKAjeKAgM&amp;mp=1" TargetMode="External"/><Relationship Id="rId10" Type="http://schemas.openxmlformats.org/officeDocument/2006/relationships/hyperlink" Target="https://www.aliexpress.com/item/1005009739698023.html?spm=a2g0o.productlist.main.2.3db27156A9zIgu&amp;algo_pvid=5ccd299d-bc42-4e1b-a1f3-9ce498b12316&amp;pdp_ext_f=%7B%22order%22%3A%2241%22%2C%22eval%22%3A%221%22%2C%22fromPage%22%3A%22search%22%7D&amp;utparam-url=scene%3Asearch%7Cquery_from%3A%7Cx_object_id%3A1005009739698023%7C_p_origin_prod%3A" TargetMode="External"/><Relationship Id="rId13" Type="http://schemas.openxmlformats.org/officeDocument/2006/relationships/drawing" Target="../drawings/drawing1.xml"/><Relationship Id="rId12" Type="http://schemas.openxmlformats.org/officeDocument/2006/relationships/hyperlink" Target="https://www.aliexpress.com/item/1005005315398342.html?spm=a2g0o.detail.0.0.6146jeKAjeKAgM&amp;mp=1" TargetMode="External"/><Relationship Id="rId1" Type="http://schemas.openxmlformats.org/officeDocument/2006/relationships/hyperlink" Target="https://www.aliexpress.com/item/1576902211.html?invitationCode=WTdsQld1N3E0dCt6aUJSMk1HMGFwS3pRdVpSS2ZEbUpCQXpTeWNiYS9GdWVQemFTZUJrNWVWT0s1MU1hdTAyWg&amp;srcSns=sns_Copy&amp;spreadType=socialShare&amp;social_params=21998300526&amp;bizType=ProductDetail&amp;spreadCode=WTdsQld1N3E0dCt6aUJSMk1HMGFwS3pRdVpSS2ZEbUpCQXpTeWNiYS9GdWVQemFTZUJrNWVWT0s1MU1hdTAyWg&amp;aff_fcid=fc7fe6e8dfe6416393474d90287a145e-1765002889991-05671-_mMYwaOd&amp;tt=MG&amp;aff_fsk=_mMYwaOd&amp;aff_platform=default&amp;sk=_mMYwaOd&amp;aff_trace_key=fc7fe6e8dfe6416393474d90287a145e-1765002889991-05671-_mMYwaOd&amp;shareId=21998300526&amp;businessType=ProductDetail&amp;platform=AE&amp;terminal_id=fde94912c73c48bdaf8f78c58fcc7623&amp;afSmartRedirect=y&amp;gatewayAdapt=4itemAdapt" TargetMode="External"/><Relationship Id="rId2" Type="http://schemas.openxmlformats.org/officeDocument/2006/relationships/hyperlink" Target="https://www.aliexpress.com/item/1005007160279747.html?spm=a2g0o.productlist.main.1.22304822ae9taT&amp;algo_pvid=f4c554f1-c455-4c9a-9782-f7b60fc6d5bb&amp;pdp_ext_f=%7B%22order%22%3A%2299%22%2C%22eval%22%3A%221%22%2C%22fromPage%22%3A%22search%22%7D&amp;utparam-url=scene%3Asearch%7Cquery_from%3A%7Cx_object_id%3A1005007160279747%7C_p_origin_prod%3A" TargetMode="External"/><Relationship Id="rId3" Type="http://schemas.openxmlformats.org/officeDocument/2006/relationships/hyperlink" Target="https://www.aliexpress.com/item/33029465106.html?spm=a2g0o.productlist.main.21.29c77dd4Pf9B7x&amp;algo_pvid=23a89907-d685-4134-9da7-b389fe9d47c8&amp;pdp_ext_f=%7B%22order%22%3A%22417%22%2C%22eval%22%3A%221%22%2C%22fromPage%22%3A%22search%22%7D&amp;utparam-url=scene%3Asearch%7Cquery_from%3A%7Cx_object_id%3A33029465106%7C_p_origin_prod%3A" TargetMode="External"/><Relationship Id="rId4" Type="http://schemas.openxmlformats.org/officeDocument/2006/relationships/hyperlink" Target="https://www.aliexpress.com/item/1005006610157756.html?spm=a2g0o.productlist.main.9.38bc50b5kyuRi5&amp;algo_pvid=be244f2e-ac60-42cf-8ede-f174e89223a1&amp;pdp_ext_f=%7B%22order%22%3A%22158%22%2C%22eval%22%3A%221%22%2C%22fromPage%22%3A%22search%22%7D&amp;utparam-url=scene%3Asearch%7Cquery_from%3A%7Cx_object_id%3A1005006610157756%7C_p_origin_prod%3A" TargetMode="External"/><Relationship Id="rId9" Type="http://schemas.openxmlformats.org/officeDocument/2006/relationships/hyperlink" Target="https://www.aliexpress.com/item/1005008798318304.html?spm=a2g0o.productlist.main.1.181d71ddvmxbc2&amp;algo_pvid=71512421-2cfd-4303-9ff7-12baccfd3a37&amp;aem_p4p_detail=202512062349391888838274516030002115181&amp;pdp_ext_f=%7B%22order%22%3A%22532%22%2C%22eval%22%3A%221%22%2C%22fromPage%22%3A%22search%22%7D&amp;utparam-url=scene%3Asearch%7Cquery_from%3A%7Cx_object_id%3A1005008798318304%7C_p_origin_prod%3A&amp;search_p4p_id=202512062349391888838274516030002115181_1" TargetMode="External"/><Relationship Id="rId5" Type="http://schemas.openxmlformats.org/officeDocument/2006/relationships/hyperlink" Target="https://www.aliexpress.com/item/1005006382591392.html?spm=a2g0o.productlist.0.0.6c9fnDJunDJu8K&amp;mp=1" TargetMode="External"/><Relationship Id="rId6" Type="http://schemas.openxmlformats.org/officeDocument/2006/relationships/hyperlink" Target="https://www.aliexpress.com/item/1005008918700196.html?spm=a2g0o.productlist.main.2.aa9f73e59kPfvL&amp;algo_pvid=6abceb6f-e678-4bb3-a5e7-ac52308a9bd5&amp;pdp_ext_f=%7B%22order%22%3A%22380%22%2C%22eval%22%3A%221%22%2C%22fromPage%22%3A%22search%22%7D&amp;utparam-url=scene%3Asearch%7Cquery_from%3A%7Cx_object_id%3A1005008918700196%7C_p_origin_prod%3A" TargetMode="External"/><Relationship Id="rId7" Type="http://schemas.openxmlformats.org/officeDocument/2006/relationships/hyperlink" Target="https://www.aliexpress.com/item/1005005070119421.html?spm=a2g0o.productlist.main.6.5ae95acdXyxAzO&amp;algo_pvid=7b80bd85-60b3-451d-ab83-8cb025dd266f&amp;pdp_ext_f=%7B%22order%22%3A%228711%22%2C%22eval%22%3A%221%22%2C%22fromPage%22%3A%22search%22%7D&amp;utparam-url=scene%3Asearch%7Cquery_from%3A%7Cx_object_id%3A1005005070119421%7C_p_origin_prod%3A" TargetMode="External"/><Relationship Id="rId8" Type="http://schemas.openxmlformats.org/officeDocument/2006/relationships/hyperlink" Target="https://www.amazon.ca/Coiled-Stereo-Haokiang-Extension-Headset/dp/B07FFW8YZR/ref=sr_1_13?sr=8-1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5"/>
    <col customWidth="1" min="2" max="2" width="22.88"/>
    <col customWidth="1" min="4" max="4" width="15.5"/>
    <col customWidth="1" min="5" max="5" width="14.88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</row>
    <row r="2">
      <c r="A2" s="4" t="s">
        <v>6</v>
      </c>
      <c r="B2" s="5" t="s">
        <v>7</v>
      </c>
      <c r="C2" s="6">
        <v>1.0</v>
      </c>
      <c r="D2" s="7">
        <v>6.09</v>
      </c>
      <c r="E2" s="7" t="s">
        <v>8</v>
      </c>
      <c r="F2" s="8" t="s">
        <v>9</v>
      </c>
    </row>
    <row r="3">
      <c r="A3" s="4" t="s">
        <v>10</v>
      </c>
      <c r="B3" s="4" t="s">
        <v>11</v>
      </c>
      <c r="C3" s="7">
        <v>100.0</v>
      </c>
      <c r="D3" s="9">
        <v>0.0434</v>
      </c>
      <c r="E3" s="10">
        <v>4.34</v>
      </c>
      <c r="F3" s="11" t="s">
        <v>12</v>
      </c>
    </row>
    <row r="4">
      <c r="A4" s="4" t="s">
        <v>13</v>
      </c>
      <c r="B4" s="4" t="s">
        <v>14</v>
      </c>
      <c r="C4" s="7">
        <v>10.0</v>
      </c>
      <c r="D4" s="10">
        <v>0.304</v>
      </c>
      <c r="E4" s="7">
        <v>3.04</v>
      </c>
      <c r="F4" s="11" t="s">
        <v>15</v>
      </c>
    </row>
    <row r="5">
      <c r="A5" s="4" t="s">
        <v>16</v>
      </c>
      <c r="B5" s="4" t="s">
        <v>17</v>
      </c>
      <c r="C5" s="7">
        <v>50.0</v>
      </c>
      <c r="D5" s="9">
        <v>0.16</v>
      </c>
      <c r="E5" s="7">
        <v>7.79</v>
      </c>
      <c r="F5" s="11" t="s">
        <v>18</v>
      </c>
    </row>
    <row r="6">
      <c r="A6" s="12" t="s">
        <v>19</v>
      </c>
      <c r="B6" s="4" t="s">
        <v>20</v>
      </c>
      <c r="C6" s="7">
        <v>45.0</v>
      </c>
      <c r="D6" s="9">
        <f>E6/45</f>
        <v>0.5286666667</v>
      </c>
      <c r="E6" s="7">
        <v>23.79</v>
      </c>
      <c r="F6" s="11" t="s">
        <v>21</v>
      </c>
    </row>
    <row r="7">
      <c r="A7" s="4" t="s">
        <v>22</v>
      </c>
      <c r="B7" s="4" t="s">
        <v>23</v>
      </c>
      <c r="C7" s="7">
        <v>2.0</v>
      </c>
      <c r="D7" s="7">
        <v>3.31</v>
      </c>
      <c r="E7" s="7">
        <f>D7 *2</f>
        <v>6.62</v>
      </c>
      <c r="F7" s="11" t="s">
        <v>24</v>
      </c>
    </row>
    <row r="8">
      <c r="A8" s="4" t="s">
        <v>25</v>
      </c>
      <c r="B8" s="4" t="s">
        <v>26</v>
      </c>
      <c r="C8" s="7">
        <v>50.0</v>
      </c>
      <c r="D8" s="9">
        <v>0.0602</v>
      </c>
      <c r="E8" s="13">
        <v>3.01</v>
      </c>
      <c r="F8" s="11" t="s">
        <v>27</v>
      </c>
    </row>
    <row r="9">
      <c r="A9" s="4" t="s">
        <v>28</v>
      </c>
      <c r="B9" s="14" t="s">
        <v>29</v>
      </c>
      <c r="C9" s="7">
        <v>1.0</v>
      </c>
      <c r="D9" s="13">
        <v>3.84</v>
      </c>
      <c r="E9" s="13">
        <v>3.84</v>
      </c>
      <c r="F9" s="15" t="s">
        <v>30</v>
      </c>
    </row>
    <row r="10">
      <c r="A10" s="14" t="s">
        <v>31</v>
      </c>
      <c r="B10" s="14" t="s">
        <v>32</v>
      </c>
      <c r="C10" s="14">
        <v>15.0</v>
      </c>
      <c r="D10" s="9">
        <v>0.184</v>
      </c>
      <c r="E10" s="9" t="s">
        <v>33</v>
      </c>
      <c r="F10" s="16" t="s">
        <v>34</v>
      </c>
    </row>
    <row r="11">
      <c r="A11" s="14" t="s">
        <v>35</v>
      </c>
      <c r="B11" s="14" t="s">
        <v>36</v>
      </c>
      <c r="C11" s="14">
        <v>20.0</v>
      </c>
      <c r="D11" s="9">
        <v>0.1995</v>
      </c>
      <c r="E11" s="14">
        <v>3.99</v>
      </c>
      <c r="F11" s="16" t="s">
        <v>37</v>
      </c>
    </row>
    <row r="12">
      <c r="A12" s="14" t="s">
        <v>38</v>
      </c>
      <c r="B12" s="14" t="s">
        <v>39</v>
      </c>
      <c r="C12" s="14">
        <v>1.0</v>
      </c>
      <c r="D12" s="14">
        <v>9.08</v>
      </c>
      <c r="E12" s="14">
        <v>9.08</v>
      </c>
      <c r="F12" s="16" t="s">
        <v>40</v>
      </c>
    </row>
    <row r="13">
      <c r="A13" s="14" t="s">
        <v>41</v>
      </c>
      <c r="B13" s="14" t="s">
        <v>42</v>
      </c>
      <c r="C13" s="17"/>
      <c r="D13" s="18">
        <f>E13 / 50</f>
        <v>0.059</v>
      </c>
      <c r="E13" s="14">
        <v>2.95</v>
      </c>
      <c r="F13" s="16" t="s">
        <v>40</v>
      </c>
    </row>
    <row r="14">
      <c r="A14" s="14" t="s">
        <v>43</v>
      </c>
      <c r="B14" s="14" t="s">
        <v>44</v>
      </c>
      <c r="C14" s="17"/>
      <c r="D14" s="17"/>
      <c r="E14" s="14">
        <v>5.0</v>
      </c>
    </row>
    <row r="15">
      <c r="D15" s="19" t="s">
        <v>45</v>
      </c>
      <c r="E15" s="20">
        <f>SUM(E2:E14)</f>
        <v>73.45</v>
      </c>
    </row>
    <row r="18">
      <c r="A18" s="3" t="s">
        <v>46</v>
      </c>
      <c r="B18" s="3" t="s">
        <v>1</v>
      </c>
      <c r="C18" s="3" t="s">
        <v>2</v>
      </c>
      <c r="D18" s="3" t="s">
        <v>47</v>
      </c>
      <c r="E18" s="3" t="s">
        <v>48</v>
      </c>
      <c r="F18" s="3" t="s">
        <v>5</v>
      </c>
    </row>
    <row r="19">
      <c r="A19" s="21"/>
      <c r="B19" s="21"/>
      <c r="C19" s="21"/>
      <c r="D19" s="21"/>
      <c r="E19" s="21"/>
      <c r="F19" s="21"/>
    </row>
    <row r="20">
      <c r="A20" s="21" t="s">
        <v>49</v>
      </c>
      <c r="B20" s="22" t="s">
        <v>50</v>
      </c>
      <c r="C20" s="23"/>
      <c r="D20" s="23"/>
      <c r="E20" s="23"/>
      <c r="F20" s="24"/>
    </row>
    <row r="21">
      <c r="A21" s="21" t="s">
        <v>51</v>
      </c>
      <c r="B21" s="21" t="s">
        <v>52</v>
      </c>
      <c r="C21" s="23"/>
      <c r="D21" s="23"/>
      <c r="E21" s="23"/>
      <c r="F21" s="21"/>
    </row>
    <row r="24">
      <c r="A24" s="21"/>
      <c r="B24" s="25"/>
      <c r="C24" s="21"/>
      <c r="D24" s="21"/>
      <c r="E24" s="21"/>
      <c r="F24" s="21"/>
    </row>
    <row r="25">
      <c r="A25" s="26"/>
      <c r="B25" s="27"/>
      <c r="C25" s="22"/>
      <c r="D25" s="21"/>
      <c r="E25" s="21"/>
      <c r="F25" s="21"/>
    </row>
    <row r="31">
      <c r="A31" s="19" t="s">
        <v>53</v>
      </c>
      <c r="B31" s="20">
        <f>E15+15.72</f>
        <v>89.17</v>
      </c>
    </row>
  </sheetData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  <hyperlink r:id="rId8" ref="F9"/>
    <hyperlink r:id="rId9" ref="F10"/>
    <hyperlink r:id="rId10" ref="F11"/>
    <hyperlink r:id="rId11" ref="F12"/>
    <hyperlink r:id="rId12" ref="F13"/>
  </hyperlinks>
  <drawing r:id="rId13"/>
</worksheet>
</file>